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6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7" i="1"/>
  <c r="K8" i="1"/>
  <c r="K3" i="1"/>
  <c r="K4" i="1"/>
  <c r="K5" i="1"/>
  <c r="K6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3" i="1"/>
  <c r="H2" i="1"/>
</calcChain>
</file>

<file path=xl/sharedStrings.xml><?xml version="1.0" encoding="utf-8"?>
<sst xmlns="http://schemas.openxmlformats.org/spreadsheetml/2006/main" count="72" uniqueCount="56">
  <si>
    <t>PRN</t>
  </si>
  <si>
    <t>Name</t>
  </si>
  <si>
    <t>Total</t>
  </si>
  <si>
    <t>Result</t>
  </si>
  <si>
    <t>PRN001</t>
  </si>
  <si>
    <t>Aditi Sharma</t>
  </si>
  <si>
    <t>Pass</t>
  </si>
  <si>
    <t>PRN002</t>
  </si>
  <si>
    <t>Rahul Verma</t>
  </si>
  <si>
    <t>PRN003</t>
  </si>
  <si>
    <t>Neha Joshi</t>
  </si>
  <si>
    <t>PRN004</t>
  </si>
  <si>
    <t>Karan Mehta</t>
  </si>
  <si>
    <t>Fail</t>
  </si>
  <si>
    <t>PRN005</t>
  </si>
  <si>
    <t>Sneha Patil</t>
  </si>
  <si>
    <t>PRN006</t>
  </si>
  <si>
    <t>Amit Bansal</t>
  </si>
  <si>
    <t>PRN007</t>
  </si>
  <si>
    <t>Priya Nair</t>
  </si>
  <si>
    <t>PRN008</t>
  </si>
  <si>
    <t>Rohit Singh</t>
  </si>
  <si>
    <t>PRN009</t>
  </si>
  <si>
    <t>Tanya Kulkarni</t>
  </si>
  <si>
    <t>PRN010</t>
  </si>
  <si>
    <t>Varun Deshmukh</t>
  </si>
  <si>
    <t>PRN011</t>
  </si>
  <si>
    <t>Meera Iyer</t>
  </si>
  <si>
    <t>PRN012</t>
  </si>
  <si>
    <t>Nikhil Rao</t>
  </si>
  <si>
    <t>PRN013</t>
  </si>
  <si>
    <t>Anjali Sinha</t>
  </si>
  <si>
    <t>PRN014</t>
  </si>
  <si>
    <t>Deepak Yadav</t>
  </si>
  <si>
    <t>PRN015</t>
  </si>
  <si>
    <t>Riya Shah</t>
  </si>
  <si>
    <t>PRN016</t>
  </si>
  <si>
    <t>Arjun Kapoor</t>
  </si>
  <si>
    <t>PRN017</t>
  </si>
  <si>
    <t>Ishita Desai</t>
  </si>
  <si>
    <t>PRN018</t>
  </si>
  <si>
    <t>Harsh Vora</t>
  </si>
  <si>
    <t>PRN019</t>
  </si>
  <si>
    <t>Sakshi Jain</t>
  </si>
  <si>
    <t>PRN020</t>
  </si>
  <si>
    <t>Manav Thakur</t>
  </si>
  <si>
    <t>A-R</t>
  </si>
  <si>
    <t>Maths</t>
  </si>
  <si>
    <t>Html</t>
  </si>
  <si>
    <t>Nanotechnology</t>
  </si>
  <si>
    <t>IKS</t>
  </si>
  <si>
    <t>Percentage</t>
  </si>
  <si>
    <t>fail</t>
  </si>
  <si>
    <t>Distinction</t>
  </si>
  <si>
    <t>Grade</t>
  </si>
  <si>
    <t>Result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</si>
</sst>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M2" sqref="M2"/>
    </sheetView>
  </sheetViews>
  <sheetFormatPr defaultRowHeight="15" x14ac:dyDescent="0.25"/>
  <sheetData>
    <row r="1" spans="1:13" ht="30" x14ac:dyDescent="0.25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2</v>
      </c>
      <c r="I1" s="1" t="s">
        <v>3</v>
      </c>
      <c r="J1" s="1" t="s">
        <v>51</v>
      </c>
      <c r="K1" s="1" t="s">
        <v>53</v>
      </c>
      <c r="L1" s="1" t="s">
        <v>54</v>
      </c>
      <c r="M1" s="1" t="s">
        <v>55</v>
      </c>
    </row>
    <row r="2" spans="1:13" ht="30" x14ac:dyDescent="0.25">
      <c r="A2" s="2" t="s">
        <v>4</v>
      </c>
      <c r="B2" s="2" t="s">
        <v>5</v>
      </c>
      <c r="C2" s="2">
        <v>78</v>
      </c>
      <c r="D2" s="2">
        <v>85</v>
      </c>
      <c r="E2" s="2">
        <v>69</v>
      </c>
      <c r="F2" s="2">
        <v>91</v>
      </c>
      <c r="G2" s="2">
        <v>88</v>
      </c>
      <c r="H2" s="2">
        <f>SUM(C2:G2)</f>
        <v>411</v>
      </c>
      <c r="I2" s="2" t="str">
        <f>IF(AND(C2&gt;=50,D2&gt;=50,E2&gt;=50,F2&gt;=50,G2&gt;=50),"pass","fail")</f>
        <v>pass</v>
      </c>
      <c r="J2" s="2">
        <f>AVERAGE(C2:G2)</f>
        <v>82.2</v>
      </c>
      <c r="K2" t="str">
        <f>IF(AND(J2&gt;=50, I2="Pass"), "Distinction", "No Distinction")</f>
        <v>Distinction</v>
      </c>
      <c r="L2" t="str">
        <f>IF(H2&gt;=450, "A+", IF(H2&gt;=400, "A", IF(H2&gt;=350, "B", IF(H2&gt;=300, "C", IF(H2&gt;=250, "D", "F")))))</f>
        <v>A</v>
      </c>
    </row>
    <row r="3" spans="1:13" ht="30" x14ac:dyDescent="0.25">
      <c r="A3" s="2" t="s">
        <v>7</v>
      </c>
      <c r="B3" s="2" t="s">
        <v>8</v>
      </c>
      <c r="C3" s="2">
        <v>56</v>
      </c>
      <c r="D3" s="2">
        <v>43</v>
      </c>
      <c r="E3" s="2">
        <v>67</v>
      </c>
      <c r="F3" s="2">
        <v>38</v>
      </c>
      <c r="G3" s="2">
        <v>72</v>
      </c>
      <c r="H3" s="2">
        <f>SUM(C3:G3)</f>
        <v>276</v>
      </c>
      <c r="I3" s="2" t="s">
        <v>13</v>
      </c>
      <c r="J3" s="2">
        <f>AVERAGE(C3:G3)</f>
        <v>55.2</v>
      </c>
      <c r="K3" t="str">
        <f t="shared" ref="K3:K21" si="0">IF(AND(J3&gt;=50, I3="Pass"), "Distinction", "No Distinction")</f>
        <v>No Distinction</v>
      </c>
      <c r="L3" t="str">
        <f t="shared" ref="L3:L21" si="1">IF(H3&gt;=450, "A+", IF(H3&gt;=400, "A", IF(H3&gt;=350, "B", IF(H3&gt;=300, "C", IF(H3&gt;=250, "D", "F")))))</f>
        <v>D</v>
      </c>
    </row>
    <row r="4" spans="1:13" ht="30" x14ac:dyDescent="0.25">
      <c r="A4" s="2" t="s">
        <v>9</v>
      </c>
      <c r="B4" s="2" t="s">
        <v>10</v>
      </c>
      <c r="C4" s="2">
        <v>92</v>
      </c>
      <c r="D4" s="2">
        <v>88</v>
      </c>
      <c r="E4" s="2">
        <v>81</v>
      </c>
      <c r="F4" s="2">
        <v>95</v>
      </c>
      <c r="G4" s="2">
        <v>89</v>
      </c>
      <c r="H4" s="2">
        <v>445</v>
      </c>
      <c r="I4" s="2" t="s">
        <v>6</v>
      </c>
      <c r="J4" s="2">
        <f>AVERAGE(C4:G4)</f>
        <v>89</v>
      </c>
      <c r="K4" t="str">
        <f t="shared" si="0"/>
        <v>Distinction</v>
      </c>
      <c r="L4" t="str">
        <f t="shared" si="1"/>
        <v>A</v>
      </c>
    </row>
    <row r="5" spans="1:13" ht="30" x14ac:dyDescent="0.25">
      <c r="A5" s="2" t="s">
        <v>11</v>
      </c>
      <c r="B5" s="2" t="s">
        <v>12</v>
      </c>
      <c r="C5" s="2">
        <v>45</v>
      </c>
      <c r="D5" s="2">
        <v>34</v>
      </c>
      <c r="E5" s="2">
        <v>39</v>
      </c>
      <c r="F5" s="2">
        <v>50</v>
      </c>
      <c r="G5" s="2">
        <v>41</v>
      </c>
      <c r="H5" s="2">
        <v>209</v>
      </c>
      <c r="I5" s="2" t="s">
        <v>13</v>
      </c>
      <c r="J5" s="2">
        <f>AVERAGE(C5:G5)</f>
        <v>41.8</v>
      </c>
      <c r="K5" t="str">
        <f t="shared" si="0"/>
        <v>No Distinction</v>
      </c>
      <c r="L5" t="str">
        <f t="shared" si="1"/>
        <v>F</v>
      </c>
    </row>
    <row r="6" spans="1:13" ht="30" x14ac:dyDescent="0.25">
      <c r="A6" s="2" t="s">
        <v>14</v>
      </c>
      <c r="B6" s="2" t="s">
        <v>15</v>
      </c>
      <c r="C6" s="2">
        <v>33</v>
      </c>
      <c r="D6" s="2">
        <v>42</v>
      </c>
      <c r="E6" s="2">
        <v>38</v>
      </c>
      <c r="F6" s="2">
        <v>30</v>
      </c>
      <c r="G6" s="2">
        <v>40</v>
      </c>
      <c r="H6" s="2">
        <v>183</v>
      </c>
      <c r="I6" s="2" t="s">
        <v>13</v>
      </c>
      <c r="J6" s="2">
        <f>AVERAGE(C6:G6)</f>
        <v>36.6</v>
      </c>
      <c r="K6" t="str">
        <f t="shared" si="0"/>
        <v>No Distinction</v>
      </c>
      <c r="L6" t="str">
        <f t="shared" si="1"/>
        <v>F</v>
      </c>
    </row>
    <row r="7" spans="1:13" ht="30" x14ac:dyDescent="0.25">
      <c r="A7" s="2" t="s">
        <v>16</v>
      </c>
      <c r="B7" s="2" t="s">
        <v>17</v>
      </c>
      <c r="C7" s="2">
        <v>61</v>
      </c>
      <c r="D7" s="2">
        <v>59</v>
      </c>
      <c r="E7" s="2">
        <v>72</v>
      </c>
      <c r="F7" s="2">
        <v>67</v>
      </c>
      <c r="G7" s="2">
        <v>65</v>
      </c>
      <c r="H7" s="2">
        <v>324</v>
      </c>
      <c r="I7" s="2" t="s">
        <v>6</v>
      </c>
      <c r="J7" s="2">
        <f>AVERAGE(C7:G7)</f>
        <v>64.8</v>
      </c>
      <c r="K7" t="str">
        <f>IF(AND(J7&gt;=50, I7="Pass"), "Distinction", "No Distinction")</f>
        <v>Distinction</v>
      </c>
      <c r="L7" t="str">
        <f t="shared" si="1"/>
        <v>C</v>
      </c>
    </row>
    <row r="8" spans="1:13" ht="30" x14ac:dyDescent="0.25">
      <c r="A8" s="2" t="s">
        <v>18</v>
      </c>
      <c r="B8" s="2" t="s">
        <v>19</v>
      </c>
      <c r="C8" s="2">
        <v>88</v>
      </c>
      <c r="D8" s="2">
        <v>91</v>
      </c>
      <c r="E8" s="2">
        <v>85</v>
      </c>
      <c r="F8" s="2">
        <v>87</v>
      </c>
      <c r="G8" s="2">
        <v>90</v>
      </c>
      <c r="H8" s="2">
        <v>441</v>
      </c>
      <c r="I8" s="2" t="s">
        <v>6</v>
      </c>
      <c r="J8" s="2">
        <f>AVERAGE(C8:G8)</f>
        <v>88.2</v>
      </c>
      <c r="K8" t="str">
        <f t="shared" si="0"/>
        <v>Distinction</v>
      </c>
      <c r="L8" t="str">
        <f t="shared" si="1"/>
        <v>A</v>
      </c>
    </row>
    <row r="9" spans="1:13" ht="30" x14ac:dyDescent="0.25">
      <c r="A9" s="2" t="s">
        <v>20</v>
      </c>
      <c r="B9" s="2" t="s">
        <v>21</v>
      </c>
      <c r="C9" s="2">
        <v>70</v>
      </c>
      <c r="D9" s="2">
        <v>32</v>
      </c>
      <c r="E9" s="2">
        <v>55</v>
      </c>
      <c r="F9" s="2">
        <v>60</v>
      </c>
      <c r="G9" s="2">
        <v>65</v>
      </c>
      <c r="H9" s="2">
        <v>282</v>
      </c>
      <c r="I9" s="2" t="s">
        <v>13</v>
      </c>
      <c r="J9" s="2">
        <f>AVERAGE(C9:G9)</f>
        <v>56.4</v>
      </c>
      <c r="K9" t="str">
        <f t="shared" si="0"/>
        <v>No Distinction</v>
      </c>
      <c r="L9" t="str">
        <f t="shared" si="1"/>
        <v>D</v>
      </c>
    </row>
    <row r="10" spans="1:13" ht="30" x14ac:dyDescent="0.25">
      <c r="A10" s="2" t="s">
        <v>22</v>
      </c>
      <c r="B10" s="2" t="s">
        <v>23</v>
      </c>
      <c r="C10" s="2">
        <v>48</v>
      </c>
      <c r="D10" s="2">
        <v>51</v>
      </c>
      <c r="E10" s="2">
        <v>60</v>
      </c>
      <c r="F10" s="2">
        <v>55</v>
      </c>
      <c r="G10" s="2">
        <v>49</v>
      </c>
      <c r="H10" s="2">
        <v>263</v>
      </c>
      <c r="I10" s="2" t="s">
        <v>13</v>
      </c>
      <c r="J10" s="2">
        <f>AVERAGE(C10:G10)</f>
        <v>52.6</v>
      </c>
      <c r="K10" t="str">
        <f t="shared" si="0"/>
        <v>No Distinction</v>
      </c>
      <c r="L10" t="str">
        <f t="shared" si="1"/>
        <v>D</v>
      </c>
    </row>
    <row r="11" spans="1:13" ht="45" x14ac:dyDescent="0.25">
      <c r="A11" s="2" t="s">
        <v>24</v>
      </c>
      <c r="B11" s="2" t="s">
        <v>25</v>
      </c>
      <c r="C11" s="2">
        <v>25</v>
      </c>
      <c r="D11" s="2">
        <v>38</v>
      </c>
      <c r="E11" s="2">
        <v>41</v>
      </c>
      <c r="F11" s="2">
        <v>33</v>
      </c>
      <c r="G11" s="2">
        <v>30</v>
      </c>
      <c r="H11" s="2">
        <v>167</v>
      </c>
      <c r="I11" s="2" t="s">
        <v>13</v>
      </c>
      <c r="J11" s="2">
        <f>AVERAGE(C11:G11)</f>
        <v>33.4</v>
      </c>
      <c r="K11" t="str">
        <f t="shared" si="0"/>
        <v>No Distinction</v>
      </c>
      <c r="L11" t="str">
        <f t="shared" si="1"/>
        <v>F</v>
      </c>
    </row>
    <row r="12" spans="1:13" ht="30" x14ac:dyDescent="0.25">
      <c r="A12" s="2" t="s">
        <v>26</v>
      </c>
      <c r="B12" s="2" t="s">
        <v>27</v>
      </c>
      <c r="C12" s="2">
        <v>77</v>
      </c>
      <c r="D12" s="2">
        <v>83</v>
      </c>
      <c r="E12" s="2">
        <v>89</v>
      </c>
      <c r="F12" s="2">
        <v>90</v>
      </c>
      <c r="G12" s="2">
        <v>85</v>
      </c>
      <c r="H12" s="2">
        <v>424</v>
      </c>
      <c r="I12" s="2" t="s">
        <v>6</v>
      </c>
      <c r="J12" s="2">
        <f>AVERAGE(C12:G12)</f>
        <v>84.8</v>
      </c>
      <c r="K12" t="str">
        <f t="shared" si="0"/>
        <v>Distinction</v>
      </c>
      <c r="L12" t="str">
        <f t="shared" si="1"/>
        <v>A</v>
      </c>
    </row>
    <row r="13" spans="1:13" ht="30" x14ac:dyDescent="0.25">
      <c r="A13" s="2" t="s">
        <v>28</v>
      </c>
      <c r="B13" s="2" t="s">
        <v>29</v>
      </c>
      <c r="C13" s="2">
        <v>62</v>
      </c>
      <c r="D13" s="2">
        <v>55</v>
      </c>
      <c r="E13" s="2">
        <v>58</v>
      </c>
      <c r="F13" s="2">
        <v>60</v>
      </c>
      <c r="G13" s="2">
        <v>54</v>
      </c>
      <c r="H13" s="2">
        <v>289</v>
      </c>
      <c r="I13" s="2" t="s">
        <v>6</v>
      </c>
      <c r="J13" s="2">
        <f>AVERAGE(C13:G13)</f>
        <v>57.8</v>
      </c>
      <c r="K13" t="str">
        <f t="shared" si="0"/>
        <v>Distinction</v>
      </c>
      <c r="L13" t="str">
        <f t="shared" si="1"/>
        <v>D</v>
      </c>
    </row>
    <row r="14" spans="1:13" ht="30" x14ac:dyDescent="0.25">
      <c r="A14" s="2" t="s">
        <v>30</v>
      </c>
      <c r="B14" s="2" t="s">
        <v>31</v>
      </c>
      <c r="C14" s="2">
        <v>45</v>
      </c>
      <c r="D14" s="2">
        <v>44</v>
      </c>
      <c r="E14" s="2">
        <v>35</v>
      </c>
      <c r="F14" s="2">
        <v>49</v>
      </c>
      <c r="G14" s="2">
        <v>47</v>
      </c>
      <c r="H14" s="2">
        <v>220</v>
      </c>
      <c r="I14" s="2" t="s">
        <v>13</v>
      </c>
      <c r="J14" s="2">
        <f>AVERAGE(C14:G14)</f>
        <v>44</v>
      </c>
      <c r="K14" t="str">
        <f t="shared" si="0"/>
        <v>No Distinction</v>
      </c>
      <c r="L14" t="str">
        <f t="shared" si="1"/>
        <v>F</v>
      </c>
    </row>
    <row r="15" spans="1:13" ht="30" x14ac:dyDescent="0.25">
      <c r="A15" s="2" t="s">
        <v>32</v>
      </c>
      <c r="B15" s="2" t="s">
        <v>33</v>
      </c>
      <c r="C15" s="2">
        <v>30</v>
      </c>
      <c r="D15" s="2">
        <v>29</v>
      </c>
      <c r="E15" s="2">
        <v>40</v>
      </c>
      <c r="F15" s="2">
        <v>33</v>
      </c>
      <c r="G15" s="2">
        <v>45</v>
      </c>
      <c r="H15" s="2">
        <v>177</v>
      </c>
      <c r="I15" s="2" t="s">
        <v>52</v>
      </c>
      <c r="J15" s="2">
        <f>AVERAGE(C15:G15)</f>
        <v>35.4</v>
      </c>
      <c r="K15" t="str">
        <f t="shared" si="0"/>
        <v>No Distinction</v>
      </c>
      <c r="L15" t="str">
        <f t="shared" si="1"/>
        <v>F</v>
      </c>
    </row>
    <row r="16" spans="1:13" ht="30" x14ac:dyDescent="0.25">
      <c r="A16" s="2" t="s">
        <v>34</v>
      </c>
      <c r="B16" s="2" t="s">
        <v>35</v>
      </c>
      <c r="C16" s="2">
        <v>90</v>
      </c>
      <c r="D16" s="2">
        <v>95</v>
      </c>
      <c r="E16" s="2">
        <v>92</v>
      </c>
      <c r="F16" s="2">
        <v>94</v>
      </c>
      <c r="G16" s="2">
        <v>91</v>
      </c>
      <c r="H16" s="2">
        <v>462</v>
      </c>
      <c r="I16" s="2" t="s">
        <v>6</v>
      </c>
      <c r="J16" s="2">
        <f>AVERAGE(C16:G16)</f>
        <v>92.4</v>
      </c>
      <c r="K16" t="str">
        <f t="shared" si="0"/>
        <v>Distinction</v>
      </c>
      <c r="L16" t="str">
        <f t="shared" si="1"/>
        <v>A+</v>
      </c>
    </row>
    <row r="17" spans="1:12" ht="30" x14ac:dyDescent="0.25">
      <c r="A17" s="2" t="s">
        <v>36</v>
      </c>
      <c r="B17" s="2" t="s">
        <v>37</v>
      </c>
      <c r="C17" s="2">
        <v>60</v>
      </c>
      <c r="D17" s="2">
        <v>67</v>
      </c>
      <c r="E17" s="2">
        <v>55</v>
      </c>
      <c r="F17" s="2">
        <v>70</v>
      </c>
      <c r="G17" s="2">
        <v>62</v>
      </c>
      <c r="H17" s="2">
        <v>314</v>
      </c>
      <c r="I17" s="2" t="s">
        <v>6</v>
      </c>
      <c r="J17" s="2">
        <f>AVERAGE(C17:G17)</f>
        <v>62.8</v>
      </c>
      <c r="K17" t="str">
        <f t="shared" si="0"/>
        <v>Distinction</v>
      </c>
      <c r="L17" t="str">
        <f t="shared" si="1"/>
        <v>C</v>
      </c>
    </row>
    <row r="18" spans="1:12" ht="30" x14ac:dyDescent="0.25">
      <c r="A18" s="2" t="s">
        <v>38</v>
      </c>
      <c r="B18" s="2" t="s">
        <v>39</v>
      </c>
      <c r="C18" s="2">
        <v>53</v>
      </c>
      <c r="D18" s="2">
        <v>36</v>
      </c>
      <c r="E18" s="2">
        <v>34</v>
      </c>
      <c r="F18" s="2">
        <v>37</v>
      </c>
      <c r="G18" s="2">
        <v>39</v>
      </c>
      <c r="H18" s="2">
        <v>199</v>
      </c>
      <c r="I18" s="2" t="s">
        <v>13</v>
      </c>
      <c r="J18" s="2">
        <f>AVERAGE(C18:G18)</f>
        <v>39.799999999999997</v>
      </c>
      <c r="K18" t="str">
        <f t="shared" si="0"/>
        <v>No Distinction</v>
      </c>
      <c r="L18" t="str">
        <f t="shared" si="1"/>
        <v>F</v>
      </c>
    </row>
    <row r="19" spans="1:12" ht="30" x14ac:dyDescent="0.25">
      <c r="A19" s="2" t="s">
        <v>40</v>
      </c>
      <c r="B19" s="2" t="s">
        <v>41</v>
      </c>
      <c r="C19" s="2">
        <v>68</v>
      </c>
      <c r="D19" s="2">
        <v>71</v>
      </c>
      <c r="E19" s="2">
        <v>75</v>
      </c>
      <c r="F19" s="2">
        <v>70</v>
      </c>
      <c r="G19" s="2">
        <v>69</v>
      </c>
      <c r="H19" s="2">
        <v>353</v>
      </c>
      <c r="I19" s="2" t="s">
        <v>6</v>
      </c>
      <c r="J19" s="2">
        <f>AVERAGE(C19:G19)</f>
        <v>70.599999999999994</v>
      </c>
      <c r="K19" t="str">
        <f t="shared" si="0"/>
        <v>Distinction</v>
      </c>
      <c r="L19" t="str">
        <f t="shared" si="1"/>
        <v>B</v>
      </c>
    </row>
    <row r="20" spans="1:12" ht="30" x14ac:dyDescent="0.25">
      <c r="A20" s="2" t="s">
        <v>42</v>
      </c>
      <c r="B20" s="2" t="s">
        <v>43</v>
      </c>
      <c r="C20" s="2">
        <v>85</v>
      </c>
      <c r="D20" s="2">
        <v>88</v>
      </c>
      <c r="E20" s="2">
        <v>80</v>
      </c>
      <c r="F20" s="2">
        <v>90</v>
      </c>
      <c r="G20" s="2">
        <v>87</v>
      </c>
      <c r="H20" s="2">
        <v>430</v>
      </c>
      <c r="I20" s="2" t="s">
        <v>6</v>
      </c>
      <c r="J20" s="2">
        <f>AVERAGE(C20:G20)</f>
        <v>86</v>
      </c>
      <c r="K20" t="str">
        <f t="shared" si="0"/>
        <v>Distinction</v>
      </c>
      <c r="L20" t="str">
        <f t="shared" si="1"/>
        <v>A</v>
      </c>
    </row>
    <row r="21" spans="1:12" ht="30" x14ac:dyDescent="0.25">
      <c r="A21" s="2" t="s">
        <v>44</v>
      </c>
      <c r="B21" s="2" t="s">
        <v>45</v>
      </c>
      <c r="C21" s="2">
        <v>34</v>
      </c>
      <c r="D21" s="2">
        <v>45</v>
      </c>
      <c r="E21" s="2">
        <v>55</v>
      </c>
      <c r="F21" s="2">
        <v>60</v>
      </c>
      <c r="G21" s="2">
        <v>59</v>
      </c>
      <c r="H21" s="2">
        <v>253</v>
      </c>
      <c r="I21" s="2" t="s">
        <v>13</v>
      </c>
      <c r="J21" s="2">
        <f>AVERAGE(C21:G21)</f>
        <v>50.6</v>
      </c>
      <c r="K21" t="str">
        <f t="shared" si="0"/>
        <v>No Distinction</v>
      </c>
      <c r="L21" t="str">
        <f t="shared" si="1"/>
        <v>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 LAB6</cp:lastModifiedBy>
  <dcterms:created xsi:type="dcterms:W3CDTF">2025-09-24T04:11:10Z</dcterms:created>
  <dcterms:modified xsi:type="dcterms:W3CDTF">2025-10-08T05:03:47Z</dcterms:modified>
</cp:coreProperties>
</file>